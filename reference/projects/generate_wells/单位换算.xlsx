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qcy\LearningSpace\Agent_Usage\GenSimSchedule_chatgpt\reference\projects\generate_wells\"/>
    </mc:Choice>
  </mc:AlternateContent>
  <xr:revisionPtr revIDLastSave="0" documentId="13_ncr:1_{98CB5093-CC1F-4FAC-80E3-E1CBCE5BF3C7}" xr6:coauthVersionLast="47" xr6:coauthVersionMax="47" xr10:uidLastSave="{00000000-0000-0000-0000-000000000000}"/>
  <bookViews>
    <workbookView xWindow="-3156" yWindow="-22092" windowWidth="16128" windowHeight="18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4" i="1"/>
  <c r="E15" i="1"/>
  <c r="E16" i="1"/>
  <c r="E17" i="1"/>
  <c r="E14" i="1"/>
  <c r="C17" i="1"/>
  <c r="C14" i="1"/>
  <c r="B9" i="1"/>
  <c r="C8" i="1"/>
</calcChain>
</file>

<file path=xl/sharedStrings.xml><?xml version="1.0" encoding="utf-8"?>
<sst xmlns="http://schemas.openxmlformats.org/spreadsheetml/2006/main" count="17" uniqueCount="15">
  <si>
    <t>bbl</t>
    <phoneticPr fontId="1" type="noConversion"/>
  </si>
  <si>
    <t>m³</t>
    <phoneticPr fontId="1" type="noConversion"/>
  </si>
  <si>
    <t>bbl -&gt; m³</t>
    <phoneticPr fontId="1" type="noConversion"/>
  </si>
  <si>
    <t>m³ -&gt; bbl</t>
    <phoneticPr fontId="1" type="noConversion"/>
  </si>
  <si>
    <t>时间点</t>
  </si>
  <si>
    <t>时间点</t>
    <phoneticPr fontId="1" type="noConversion"/>
  </si>
  <si>
    <t>产量基线</t>
  </si>
  <si>
    <t>产量基线</t>
    <phoneticPr fontId="1" type="noConversion"/>
  </si>
  <si>
    <t>最小值</t>
  </si>
  <si>
    <t>最小值</t>
    <phoneticPr fontId="1" type="noConversion"/>
  </si>
  <si>
    <t>最大值</t>
  </si>
  <si>
    <t>最大值</t>
    <phoneticPr fontId="1" type="noConversion"/>
  </si>
  <si>
    <t>变化幅度</t>
  </si>
  <si>
    <t>变化幅度</t>
    <phoneticPr fontId="1" type="noConversion"/>
  </si>
  <si>
    <t>seed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</si>
</sst>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5"/>
  <sheetViews>
    <sheetView tabSelected="1" workbookViewId="0">
      <selection activeCell="C28" sqref="C28"/>
    </sheetView>
  </sheetViews>
  <sheetFormatPr defaultRowHeight="13.8" x14ac:dyDescent="0.25"/>
  <cols>
    <col min="2" max="2" width="12.77734375" bestFit="1" customWidth="1"/>
    <col min="3" max="3" width="10.44140625" bestFit="1" customWidth="1"/>
  </cols>
  <sheetData>
    <row r="3" spans="2:6" x14ac:dyDescent="0.25">
      <c r="B3" s="1" t="s">
        <v>2</v>
      </c>
      <c r="C3" s="1">
        <v>0.15898699999999999</v>
      </c>
    </row>
    <row r="4" spans="2:6" x14ac:dyDescent="0.25">
      <c r="B4" s="1" t="s">
        <v>3</v>
      </c>
      <c r="C4" s="1">
        <v>6.2897999999999996</v>
      </c>
    </row>
    <row r="7" spans="2:6" x14ac:dyDescent="0.25">
      <c r="B7" s="2" t="s">
        <v>0</v>
      </c>
      <c r="C7" s="2" t="s">
        <v>1</v>
      </c>
      <c r="E7" s="2" t="s">
        <v>1</v>
      </c>
      <c r="F7" s="2" t="s">
        <v>0</v>
      </c>
    </row>
    <row r="8" spans="2:6" x14ac:dyDescent="0.25">
      <c r="B8">
        <v>100000</v>
      </c>
      <c r="C8">
        <f>B8*C3</f>
        <v>15898.699999999999</v>
      </c>
    </row>
    <row r="9" spans="2:6" x14ac:dyDescent="0.25">
      <c r="B9">
        <f>B8/22</f>
        <v>4545.454545454545</v>
      </c>
    </row>
    <row r="13" spans="2:6" x14ac:dyDescent="0.25">
      <c r="B13" t="s">
        <v>5</v>
      </c>
      <c r="C13" t="s">
        <v>7</v>
      </c>
      <c r="D13" t="s">
        <v>13</v>
      </c>
      <c r="E13" t="s">
        <v>9</v>
      </c>
      <c r="F13" t="s">
        <v>11</v>
      </c>
    </row>
    <row r="14" spans="2:6" x14ac:dyDescent="0.25">
      <c r="B14" s="3">
        <v>42736</v>
      </c>
      <c r="C14">
        <f>B9/10</f>
        <v>454.5454545454545</v>
      </c>
      <c r="D14">
        <v>0.2</v>
      </c>
      <c r="E14">
        <f>C14*(1-D14)</f>
        <v>363.63636363636363</v>
      </c>
      <c r="F14">
        <f>C14*(1+D14)</f>
        <v>545.45454545454538</v>
      </c>
    </row>
    <row r="15" spans="2:6" x14ac:dyDescent="0.25">
      <c r="B15" s="3">
        <v>43252</v>
      </c>
      <c r="C15">
        <v>4545.454545454545</v>
      </c>
      <c r="D15">
        <v>0.2</v>
      </c>
      <c r="E15">
        <f t="shared" ref="E15:E17" si="0">C15*(1-D15)</f>
        <v>3636.363636363636</v>
      </c>
      <c r="F15">
        <f t="shared" ref="F15:F17" si="1">C15*(1+D15)</f>
        <v>5454.545454545454</v>
      </c>
    </row>
    <row r="16" spans="2:6" x14ac:dyDescent="0.25">
      <c r="B16" s="3">
        <v>44927</v>
      </c>
      <c r="C16">
        <v>4545.454545454545</v>
      </c>
      <c r="D16">
        <v>0.2</v>
      </c>
      <c r="E16">
        <f t="shared" si="0"/>
        <v>3636.363636363636</v>
      </c>
      <c r="F16">
        <f t="shared" si="1"/>
        <v>5454.545454545454</v>
      </c>
    </row>
    <row r="17" spans="2:7" x14ac:dyDescent="0.25">
      <c r="B17" s="3">
        <v>46387</v>
      </c>
      <c r="C17">
        <f>B9/2</f>
        <v>2272.7272727272725</v>
      </c>
      <c r="D17">
        <v>0.2</v>
      </c>
      <c r="E17">
        <f t="shared" si="0"/>
        <v>1818.181818181818</v>
      </c>
      <c r="F17">
        <f t="shared" si="1"/>
        <v>2727.272727272727</v>
      </c>
    </row>
    <row r="21" spans="2:7" x14ac:dyDescent="0.25">
      <c r="B21" t="s">
        <v>4</v>
      </c>
      <c r="C21" t="s">
        <v>6</v>
      </c>
      <c r="D21" t="s">
        <v>12</v>
      </c>
      <c r="E21" t="s">
        <v>8</v>
      </c>
      <c r="F21" t="s">
        <v>10</v>
      </c>
      <c r="G21" t="s">
        <v>14</v>
      </c>
    </row>
    <row r="22" spans="2:7" x14ac:dyDescent="0.25">
      <c r="B22" s="3">
        <v>42736</v>
      </c>
      <c r="C22">
        <v>454.5454545454545</v>
      </c>
      <c r="D22">
        <v>0.2</v>
      </c>
      <c r="E22">
        <v>363.63636363636402</v>
      </c>
      <c r="F22">
        <v>545.45454545454504</v>
      </c>
      <c r="G22">
        <v>40</v>
      </c>
    </row>
    <row r="23" spans="2:7" x14ac:dyDescent="0.25">
      <c r="B23" s="3">
        <v>43252</v>
      </c>
      <c r="C23">
        <v>4545.454545454545</v>
      </c>
      <c r="D23">
        <v>0.2</v>
      </c>
      <c r="E23">
        <v>3636.3636363636401</v>
      </c>
      <c r="F23">
        <v>5454.5454545454504</v>
      </c>
      <c r="G23">
        <v>41</v>
      </c>
    </row>
    <row r="24" spans="2:7" x14ac:dyDescent="0.25">
      <c r="B24" s="3">
        <v>44927</v>
      </c>
      <c r="C24">
        <v>4545.454545454545</v>
      </c>
      <c r="D24">
        <v>0.2</v>
      </c>
      <c r="E24">
        <v>3636.3636363636401</v>
      </c>
      <c r="F24">
        <v>5454.5454545454504</v>
      </c>
      <c r="G24">
        <v>42</v>
      </c>
    </row>
    <row r="25" spans="2:7" x14ac:dyDescent="0.25">
      <c r="B25" s="3">
        <v>46387</v>
      </c>
      <c r="C25">
        <v>2272.7272727272725</v>
      </c>
      <c r="D25">
        <v>0.2</v>
      </c>
      <c r="E25">
        <v>1818.1818181818201</v>
      </c>
      <c r="F25">
        <v>2727.2727272727302</v>
      </c>
      <c r="G25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CNPCRD_MWS_CQ</dc:creator>
  <cp:lastModifiedBy>Qiao Congying - CNPC R&amp;D</cp:lastModifiedBy>
  <dcterms:created xsi:type="dcterms:W3CDTF">2015-06-05T18:19:34Z</dcterms:created>
  <dcterms:modified xsi:type="dcterms:W3CDTF">2026-10-15T10:35:58Z</dcterms:modified>
</cp:coreProperties>
</file>